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832a3147d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anking" sheetId="1" r:id="R48219bc2a2114116"/>
    <x:sheet xmlns:r="http://schemas.openxmlformats.org/officeDocument/2006/relationships" name="Results" sheetId="2" r:id="Rb9d283aad84e4dd2"/>
    <x:sheet xmlns:r="http://schemas.openxmlformats.org/officeDocument/2006/relationships" name="Methodology" sheetId="3" r:id="R4a281aa4674b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D9EAF7"/>
      </x:patternFill>
    </x:fill>
    <x:fill>
      <x:patternFill patternType="solid">
        <x:fgColor rgb="FFE8F4EC"/>
      </x:patternFill>
    </x:fill>
  </x:fills>
  <x:borders count="13">
    <x:border/>
    <x:border>
      <x:left style="thin">
        <x:color rgb="FF123C69"/>
      </x:left>
      <x:top style="thin">
        <x:color rgb="FF123C69"/>
      </x:top>
      <x:bottom style="thin">
        <x:color rgb="FF123C69"/>
      </x:bottom>
    </x:border>
    <x:border>
      <x:top style="thin">
        <x:color rgb="FF123C69"/>
      </x:top>
      <x:bottom style="thin">
        <x:color rgb="FF123C69"/>
      </x:bottom>
    </x:border>
    <x:border>
      <x:right style="thin">
        <x:color rgb="FF123C69"/>
      </x:right>
      <x:top style="thin">
        <x:color rgb="FF123C69"/>
      </x:top>
      <x:bottom style="thin">
        <x:color rgb="FF123C69"/>
      </x:bottom>
    </x:border>
    <x:border>
      <x:right style="thin">
        <x:color rgb="FFDCE2EA"/>
      </x:right>
      <x:bottom style="thin">
        <x:color rgb="FFDCE2EA"/>
      </x:bottom>
    </x:border>
    <x:border>
      <x:left style="thin">
        <x:color rgb="FFDCE2EA"/>
      </x:left>
      <x:right style="thin">
        <x:color rgb="FFDCE2EA"/>
      </x:right>
      <x:bottom style="thin">
        <x:color rgb="FFDCE2EA"/>
      </x:bottom>
    </x:border>
    <x:border>
      <x:left style="thin">
        <x:color rgb="FFDCE2EA"/>
      </x:left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</x:border>
    <x:border>
      <x:left style="thin">
        <x:color rgb="FFDCE2EA"/>
      </x:left>
      <x:right style="thin">
        <x:color rgb="FFDCE2EA"/>
      </x:right>
      <x:top style="thin">
        <x:color rgb="FFDCE2EA"/>
      </x:top>
    </x:border>
    <x:border>
      <x:left style="thin">
        <x:color rgb="FFDCE2EA"/>
      </x:left>
      <x:top style="thin">
        <x:color rgb="FFDCE2EA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0" fontId="0" fillId="4" borderId="8" xfId="0" applyNumberFormat="1" applyFont="1" applyFill="1" applyBorder="1"/>
    <x:xf numFmtId="201" fontId="0" fillId="4" borderId="8" xfId="0" applyNumberFormat="1" applyFont="1" applyFill="1" applyBorder="1"/>
    <x:xf numFmtId="0" fontId="0" fillId="4" borderId="8" xfId="0" applyNumberFormat="1" applyFont="1" applyFill="1" applyBorder="1" applyAlignment="1">
      <x:alignment vertical="center"/>
    </x:xf>
    <x:xf numFmtId="201" fontId="0" fillId="4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9eb1f471b46ad" /><Relationship Type="http://schemas.openxmlformats.org/officeDocument/2006/relationships/theme" Target="/xl/theme/theme1.xml" Id="R974ac7eb53ec4b9d" /><Relationship Type="http://schemas.openxmlformats.org/officeDocument/2006/relationships/sharedStrings" Target="/xl/sharedStrings.xml" Id="R137fc3f121a6465d" /><Relationship Type="http://schemas.openxmlformats.org/officeDocument/2006/relationships/worksheet" Target="/xl/worksheets/sheet1.xml" Id="R48219bc2a2114116" /><Relationship Type="http://schemas.openxmlformats.org/officeDocument/2006/relationships/worksheet" Target="/xl/worksheets/sheet2.xml" Id="Rb9d283aad84e4dd2" /><Relationship Type="http://schemas.openxmlformats.org/officeDocument/2006/relationships/worksheet" Target="/xl/worksheets/sheet3.xml" Id="R4a281aa4674b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5" hidden="0" customWidth="1"/>
    <x:col min="2" max="2" width="22" hidden="0" customWidth="1"/>
    <x:col min="3" max="3" width="36" hidden="0" customWidth="1"/>
    <x:col min="4" max="4" width="22" hidden="0" customWidth="1"/>
    <x:col min="5" max="5" width="8.630000114440918" hidden="0" customWidth="1"/>
  </x:cols>
  <x:sheetData>
    <x:row r="1" ht="30" customHeight="1">
      <x:c r="A1" s="20" t="str">
        <x:v>CEC 2026 MLA-EC Final Competition Ranking</x:v>
      </x:c>
      <x:c r="B1" s="20"/>
      <x:c r="C1" s="20"/>
      <x:c r="D1" s="20"/>
      <x:c r="E1" s="20"/>
    </x:row>
    <x:row r="3">
      <x:c r="A3" s="22" t="str">
        <x:v>Rank</x:v>
      </x:c>
      <x:c r="B3" s="22" t="str">
        <x:v>Entrant</x:v>
      </x:c>
      <x:c r="C3" s="22" t="str">
        <x:v>Algorithm</x:v>
      </x:c>
      <x:c r="D3" s="22" t="str">
        <x:v>Overall Mean ASR</x:v>
      </x:c>
      <x:c r="E3" s="22" t="str">
        <x:v>Final Place</x:v>
      </x:c>
    </x:row>
    <x:row r="4">
      <x:c r="A4" s="27" t="n">
        <x:f>RANK(D4,$D$4:$D$6,0)</x:f>
        <x:v>1</x:v>
      </x:c>
      <x:c r="B4" s="27" t="str">
        <x:v>Juewen Fan</x:v>
      </x:c>
      <x:c r="C4" s="27" t="str">
        <x:v>Gradient-Plateau SBA</x:v>
      </x:c>
      <x:c r="D4" s="28" t="n">
        <x:f>AVERAGE('Results'!E2:E9)</x:f>
        <x:v>0.962875</x:v>
      </x:c>
      <x:c r="E4" s="27" t="str">
        <x:f>IF(A4=1,"1st",IF(A4=2,"2nd","3rd"))</x:f>
        <x:v>1st</x:v>
      </x:c>
    </x:row>
    <x:row r="5">
      <x:c r="A5" s="29" t="n">
        <x:f>RANK(D5,$D$4:$D$6,0)</x:f>
        <x:v>2</x:v>
      </x:c>
      <x:c r="B5" s="29" t="str">
        <x:v>Chaofan Xie</x:v>
      </x:c>
      <x:c r="C5" s="29" t="str">
        <x:v>Multi-Archive Search with SBA</x:v>
      </x:c>
      <x:c r="D5" s="30" t="n">
        <x:f>AVERAGE('Results'!E10:E17)</x:f>
        <x:v>0.823625</x:v>
      </x:c>
      <x:c r="E5" s="29" t="str">
        <x:f>IF(A5=1,"1st",IF(A5=2,"2nd","3rd"))</x:f>
        <x:v>2nd</x:v>
      </x:c>
    </x:row>
    <x:row r="6">
      <x:c r="A6" s="29" t="n">
        <x:f>RANK(D6,$D$4:$D$6,0)</x:f>
        <x:v>3</x:v>
      </x:c>
      <x:c r="B6" s="29" t="str">
        <x:v>Gaoren Zhang</x:v>
      </x:c>
      <x:c r="C6" s="29" t="str">
        <x:v>Structured Active-Label Attack</x:v>
      </x:c>
      <x:c r="D6" s="30" t="n">
        <x:f>AVERAGE('Results'!E18:E25)</x:f>
        <x:v>0.763125</x:v>
      </x:c>
      <x:c r="E6" s="29" t="str">
        <x:f>IF(A6=1,"1st",IF(A6=2,"2nd","3rd"))</x:f>
        <x:v>3rd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6.75" hidden="0" customWidth="1"/>
    <x:col min="4" max="4" width="8.380000114440918" hidden="0" customWidth="1"/>
    <x:col min="5" max="5" width="8.380000114440918" hidden="0" customWidth="1"/>
    <x:col min="6" max="6" width="29" hidden="0" customWidth="1"/>
  </x:cols>
  <x:sheetData>
    <x:row r="1">
      <x:c r="A1" s="3" t="str">
        <x:v>Entrant</x:v>
      </x:c>
      <x:c r="B1" s="4" t="str">
        <x:v>Algorithm</x:v>
      </x:c>
      <x:c r="C1" s="4" t="str">
        <x:v>Model</x:v>
      </x:c>
      <x:c r="D1" s="4" t="str">
        <x:v>Dataset</x:v>
      </x:c>
      <x:c r="E1" s="4" t="str">
        <x:v>Mean ASR</x:v>
      </x:c>
      <x:c r="F1" s="5" t="str">
        <x:v>Source file</x:v>
      </x:c>
    </x:row>
    <x:row r="2">
      <x:c r="A2" s="6" t="str">
        <x:v>Juewen Fan</x:v>
      </x:c>
      <x:c r="B2" s="7" t="str">
        <x:v>Gradient-Plateau SBA</x:v>
      </x:c>
      <x:c r="C2" s="7" t="str">
        <x:v>ML-GCN</x:v>
      </x:c>
      <x:c r="D2" s="7" t="str">
        <x:v>VOC 2007</x:v>
      </x:c>
      <x:c r="E2" s="15" t="n">
        <x:v>0.999</x:v>
      </x:c>
      <x:c r="F2" s="8" t="str">
        <x:v>main-范觉文.pdf</x:v>
      </x:c>
    </x:row>
    <x:row r="3">
      <x:c r="A3" s="9" t="str">
        <x:v>Juewen Fan</x:v>
      </x:c>
      <x:c r="B3" s="10" t="str">
        <x:v>Gradient-Plateau SBA</x:v>
      </x:c>
      <x:c r="C3" s="10" t="str">
        <x:v>ML-GCN</x:v>
      </x:c>
      <x:c r="D3" s="10" t="str">
        <x:v>VOC 2012</x:v>
      </x:c>
      <x:c r="E3" s="16" t="n">
        <x:v>0.996</x:v>
      </x:c>
      <x:c r="F3" s="11" t="str">
        <x:v>main-范觉文.pdf</x:v>
      </x:c>
    </x:row>
    <x:row r="4">
      <x:c r="A4" s="9" t="str">
        <x:v>Juewen Fan</x:v>
      </x:c>
      <x:c r="B4" s="10" t="str">
        <x:v>Gradient-Plateau SBA</x:v>
      </x:c>
      <x:c r="C4" s="10" t="str">
        <x:v>ML-GCN</x:v>
      </x:c>
      <x:c r="D4" s="10" t="str">
        <x:v>NUS-WIDE</x:v>
      </x:c>
      <x:c r="E4" s="16" t="n">
        <x:v>0.913</x:v>
      </x:c>
      <x:c r="F4" s="11" t="str">
        <x:v>main-范觉文.pdf</x:v>
      </x:c>
    </x:row>
    <x:row r="5">
      <x:c r="A5" s="9" t="str">
        <x:v>Juewen Fan</x:v>
      </x:c>
      <x:c r="B5" s="10" t="str">
        <x:v>Gradient-Plateau SBA</x:v>
      </x:c>
      <x:c r="C5" s="10" t="str">
        <x:v>ML-GCN</x:v>
      </x:c>
      <x:c r="D5" s="10" t="str">
        <x:v>COCO</x:v>
      </x:c>
      <x:c r="E5" s="16" t="n">
        <x:v>0.984</x:v>
      </x:c>
      <x:c r="F5" s="11" t="str">
        <x:v>main-范觉文.pdf</x:v>
      </x:c>
    </x:row>
    <x:row r="6">
      <x:c r="A6" s="9" t="str">
        <x:v>Juewen Fan</x:v>
      </x:c>
      <x:c r="B6" s="10" t="str">
        <x:v>Gradient-Plateau SBA</x:v>
      </x:c>
      <x:c r="C6" s="10" t="str">
        <x:v>ML-LIW</x:v>
      </x:c>
      <x:c r="D6" s="10" t="str">
        <x:v>VOC 2007</x:v>
      </x:c>
      <x:c r="E6" s="16" t="n">
        <x:v>0.992</x:v>
      </x:c>
      <x:c r="F6" s="11" t="str">
        <x:v>main-范觉文.pdf</x:v>
      </x:c>
    </x:row>
    <x:row r="7">
      <x:c r="A7" s="9" t="str">
        <x:v>Juewen Fan</x:v>
      </x:c>
      <x:c r="B7" s="10" t="str">
        <x:v>Gradient-Plateau SBA</x:v>
      </x:c>
      <x:c r="C7" s="10" t="str">
        <x:v>ML-LIW</x:v>
      </x:c>
      <x:c r="D7" s="10" t="str">
        <x:v>VOC 2012</x:v>
      </x:c>
      <x:c r="E7" s="16" t="n">
        <x:v>0.995</x:v>
      </x:c>
      <x:c r="F7" s="11" t="str">
        <x:v>main-范觉文.pdf</x:v>
      </x:c>
    </x:row>
    <x:row r="8">
      <x:c r="A8" s="9" t="str">
        <x:v>Juewen Fan</x:v>
      </x:c>
      <x:c r="B8" s="10" t="str">
        <x:v>Gradient-Plateau SBA</x:v>
      </x:c>
      <x:c r="C8" s="10" t="str">
        <x:v>ML-LIW</x:v>
      </x:c>
      <x:c r="D8" s="10" t="str">
        <x:v>NUS-WIDE</x:v>
      </x:c>
      <x:c r="E8" s="16" t="n">
        <x:v>0.944</x:v>
      </x:c>
      <x:c r="F8" s="11" t="str">
        <x:v>main-范觉文.pdf</x:v>
      </x:c>
    </x:row>
    <x:row r="9">
      <x:c r="A9" s="9" t="str">
        <x:v>Juewen Fan</x:v>
      </x:c>
      <x:c r="B9" s="10" t="str">
        <x:v>Gradient-Plateau SBA</x:v>
      </x:c>
      <x:c r="C9" s="10" t="str">
        <x:v>ML-LIW</x:v>
      </x:c>
      <x:c r="D9" s="10" t="str">
        <x:v>COCO</x:v>
      </x:c>
      <x:c r="E9" s="16" t="n">
        <x:v>0.88</x:v>
      </x:c>
      <x:c r="F9" s="11" t="str">
        <x:v>main-范觉文.pdf</x:v>
      </x:c>
    </x:row>
    <x:row r="10">
      <x:c r="A10" s="9" t="str">
        <x:v>Chaofan Xie</x:v>
      </x:c>
      <x:c r="B10" s="10" t="str">
        <x:v>Multi-Archive Search with SBA</x:v>
      </x:c>
      <x:c r="C10" s="10" t="str">
        <x:v>ML-GCN</x:v>
      </x:c>
      <x:c r="D10" s="10" t="str">
        <x:v>VOC 2007</x:v>
      </x:c>
      <x:c r="E10" s="16" t="n">
        <x:v>0.933</x:v>
      </x:c>
      <x:c r="F10" s="11" t="str">
        <x:v>CEC2026report-谢超矾.pdf</x:v>
      </x:c>
    </x:row>
    <x:row r="11">
      <x:c r="A11" s="9" t="str">
        <x:v>Chaofan Xie</x:v>
      </x:c>
      <x:c r="B11" s="10" t="str">
        <x:v>Multi-Archive Search with SBA</x:v>
      </x:c>
      <x:c r="C11" s="10" t="str">
        <x:v>ML-GCN</x:v>
      </x:c>
      <x:c r="D11" s="10" t="str">
        <x:v>VOC 2012</x:v>
      </x:c>
      <x:c r="E11" s="16" t="n">
        <x:v>0.943</x:v>
      </x:c>
      <x:c r="F11" s="11" t="str">
        <x:v>CEC2026report-谢超矾.pdf</x:v>
      </x:c>
    </x:row>
    <x:row r="12">
      <x:c r="A12" s="9" t="str">
        <x:v>Chaofan Xie</x:v>
      </x:c>
      <x:c r="B12" s="10" t="str">
        <x:v>Multi-Archive Search with SBA</x:v>
      </x:c>
      <x:c r="C12" s="10" t="str">
        <x:v>ML-GCN</x:v>
      </x:c>
      <x:c r="D12" s="10" t="str">
        <x:v>NUS-WIDE</x:v>
      </x:c>
      <x:c r="E12" s="16" t="n">
        <x:v>0.665</x:v>
      </x:c>
      <x:c r="F12" s="11" t="str">
        <x:v>CEC2026report-谢超矾.pdf</x:v>
      </x:c>
    </x:row>
    <x:row r="13">
      <x:c r="A13" s="9" t="str">
        <x:v>Chaofan Xie</x:v>
      </x:c>
      <x:c r="B13" s="10" t="str">
        <x:v>Multi-Archive Search with SBA</x:v>
      </x:c>
      <x:c r="C13" s="10" t="str">
        <x:v>ML-GCN</x:v>
      </x:c>
      <x:c r="D13" s="10" t="str">
        <x:v>COCO</x:v>
      </x:c>
      <x:c r="E13" s="16" t="n">
        <x:v>0.822</x:v>
      </x:c>
      <x:c r="F13" s="11" t="str">
        <x:v>CEC2026report-谢超矾.pdf</x:v>
      </x:c>
    </x:row>
    <x:row r="14">
      <x:c r="A14" s="9" t="str">
        <x:v>Chaofan Xie</x:v>
      </x:c>
      <x:c r="B14" s="10" t="str">
        <x:v>Multi-Archive Search with SBA</x:v>
      </x:c>
      <x:c r="C14" s="10" t="str">
        <x:v>ML-LIW</x:v>
      </x:c>
      <x:c r="D14" s="10" t="str">
        <x:v>VOC 2007</x:v>
      </x:c>
      <x:c r="E14" s="16" t="n">
        <x:v>0.925</x:v>
      </x:c>
      <x:c r="F14" s="11" t="str">
        <x:v>CEC2026report-谢超矾.pdf</x:v>
      </x:c>
    </x:row>
    <x:row r="15">
      <x:c r="A15" s="9" t="str">
        <x:v>Chaofan Xie</x:v>
      </x:c>
      <x:c r="B15" s="10" t="str">
        <x:v>Multi-Archive Search with SBA</x:v>
      </x:c>
      <x:c r="C15" s="10" t="str">
        <x:v>ML-LIW</x:v>
      </x:c>
      <x:c r="D15" s="10" t="str">
        <x:v>VOC 2012</x:v>
      </x:c>
      <x:c r="E15" s="16" t="n">
        <x:v>0.908</x:v>
      </x:c>
      <x:c r="F15" s="11" t="str">
        <x:v>CEC2026report-谢超矾.pdf</x:v>
      </x:c>
    </x:row>
    <x:row r="16">
      <x:c r="A16" s="9" t="str">
        <x:v>Chaofan Xie</x:v>
      </x:c>
      <x:c r="B16" s="10" t="str">
        <x:v>Multi-Archive Search with SBA</x:v>
      </x:c>
      <x:c r="C16" s="10" t="str">
        <x:v>ML-LIW</x:v>
      </x:c>
      <x:c r="D16" s="10" t="str">
        <x:v>NUS-WIDE</x:v>
      </x:c>
      <x:c r="E16" s="16" t="n">
        <x:v>0.715</x:v>
      </x:c>
      <x:c r="F16" s="11" t="str">
        <x:v>CEC2026report-谢超矾.pdf</x:v>
      </x:c>
    </x:row>
    <x:row r="17">
      <x:c r="A17" s="9" t="str">
        <x:v>Chaofan Xie</x:v>
      </x:c>
      <x:c r="B17" s="10" t="str">
        <x:v>Multi-Archive Search with SBA</x:v>
      </x:c>
      <x:c r="C17" s="10" t="str">
        <x:v>ML-LIW</x:v>
      </x:c>
      <x:c r="D17" s="10" t="str">
        <x:v>COCO</x:v>
      </x:c>
      <x:c r="E17" s="16" t="n">
        <x:v>0.678</x:v>
      </x:c>
      <x:c r="F17" s="11" t="str">
        <x:v>CEC2026report-谢超矾.pdf</x:v>
      </x:c>
    </x:row>
    <x:row r="18">
      <x:c r="A18" s="9" t="str">
        <x:v>Gaoren Zhang</x:v>
      </x:c>
      <x:c r="B18" s="10" t="str">
        <x:v>Structured Active-Label Attack</x:v>
      </x:c>
      <x:c r="C18" s="10" t="str">
        <x:v>ML-GCN</x:v>
      </x:c>
      <x:c r="D18" s="10" t="str">
        <x:v>VOC 2007</x:v>
      </x:c>
      <x:c r="E18" s="16" t="n">
        <x:v>0.977</x:v>
      </x:c>
      <x:c r="F18" s="11" t="str">
        <x:v>张高仁-算法结果.png</x:v>
      </x:c>
    </x:row>
    <x:row r="19">
      <x:c r="A19" s="9" t="str">
        <x:v>Gaoren Zhang</x:v>
      </x:c>
      <x:c r="B19" s="10" t="str">
        <x:v>Structured Active-Label Attack</x:v>
      </x:c>
      <x:c r="C19" s="10" t="str">
        <x:v>ML-GCN</x:v>
      </x:c>
      <x:c r="D19" s="10" t="str">
        <x:v>VOC 2012</x:v>
      </x:c>
      <x:c r="E19" s="16" t="n">
        <x:v>0.978</x:v>
      </x:c>
      <x:c r="F19" s="11" t="str">
        <x:v>张高仁-算法结果.png</x:v>
      </x:c>
    </x:row>
    <x:row r="20">
      <x:c r="A20" s="9" t="str">
        <x:v>Gaoren Zhang</x:v>
      </x:c>
      <x:c r="B20" s="10" t="str">
        <x:v>Structured Active-Label Attack</x:v>
      </x:c>
      <x:c r="C20" s="10" t="str">
        <x:v>ML-GCN</x:v>
      </x:c>
      <x:c r="D20" s="10" t="str">
        <x:v>NUS-WIDE</x:v>
      </x:c>
      <x:c r="E20" s="16" t="n">
        <x:v>0.02</x:v>
      </x:c>
      <x:c r="F20" s="11" t="str">
        <x:v>张高仁-算法结果.png</x:v>
      </x:c>
    </x:row>
    <x:row r="21">
      <x:c r="A21" s="9" t="str">
        <x:v>Gaoren Zhang</x:v>
      </x:c>
      <x:c r="B21" s="10" t="str">
        <x:v>Structured Active-Label Attack</x:v>
      </x:c>
      <x:c r="C21" s="10" t="str">
        <x:v>ML-GCN</x:v>
      </x:c>
      <x:c r="D21" s="10" t="str">
        <x:v>COCO</x:v>
      </x:c>
      <x:c r="E21" s="16" t="n">
        <x:v>0.89</x:v>
      </x:c>
      <x:c r="F21" s="11" t="str">
        <x:v>张高仁-算法结果.png</x:v>
      </x:c>
    </x:row>
    <x:row r="22">
      <x:c r="A22" s="9" t="str">
        <x:v>Gaoren Zhang</x:v>
      </x:c>
      <x:c r="B22" s="10" t="str">
        <x:v>Structured Active-Label Attack</x:v>
      </x:c>
      <x:c r="C22" s="10" t="str">
        <x:v>ML-LIW</x:v>
      </x:c>
      <x:c r="D22" s="10" t="str">
        <x:v>VOC 2007</x:v>
      </x:c>
      <x:c r="E22" s="16" t="n">
        <x:v>0.918</x:v>
      </x:c>
      <x:c r="F22" s="11" t="str">
        <x:v>张高仁-算法结果.png</x:v>
      </x:c>
    </x:row>
    <x:row r="23">
      <x:c r="A23" s="9" t="str">
        <x:v>Gaoren Zhang</x:v>
      </x:c>
      <x:c r="B23" s="10" t="str">
        <x:v>Structured Active-Label Attack</x:v>
      </x:c>
      <x:c r="C23" s="10" t="str">
        <x:v>ML-LIW</x:v>
      </x:c>
      <x:c r="D23" s="10" t="str">
        <x:v>VOC 2012</x:v>
      </x:c>
      <x:c r="E23" s="16" t="n">
        <x:v>0.957</x:v>
      </x:c>
      <x:c r="F23" s="11" t="str">
        <x:v>张高仁-算法结果.png</x:v>
      </x:c>
    </x:row>
    <x:row r="24">
      <x:c r="A24" s="9" t="str">
        <x:v>Gaoren Zhang</x:v>
      </x:c>
      <x:c r="B24" s="10" t="str">
        <x:v>Structured Active-Label Attack</x:v>
      </x:c>
      <x:c r="C24" s="10" t="str">
        <x:v>ML-LIW</x:v>
      </x:c>
      <x:c r="D24" s="10" t="str">
        <x:v>NUS-WIDE</x:v>
      </x:c>
      <x:c r="E24" s="16" t="n">
        <x:v>0.718</x:v>
      </x:c>
      <x:c r="F24" s="11" t="str">
        <x:v>张高仁-算法结果.png</x:v>
      </x:c>
    </x:row>
    <x:row r="25">
      <x:c r="A25" s="12" t="str">
        <x:v>Gaoren Zhang</x:v>
      </x:c>
      <x:c r="B25" s="13" t="str">
        <x:v>Structured Active-Label Attack</x:v>
      </x:c>
      <x:c r="C25" s="13" t="str">
        <x:v>ML-LIW</x:v>
      </x:c>
      <x:c r="D25" s="13" t="str">
        <x:v>COCO</x:v>
      </x:c>
      <x:c r="E25" s="17" t="n">
        <x:v>0.647</x:v>
      </x:c>
      <x:c r="F25" s="14" t="str">
        <x:v>张高仁-算法结果.png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31" t="str">
        <x:v>Competition result methodology</x:v>
      </x:c>
      <x:c r="B1" s="31" t="str"/>
    </x:row>
    <x:row r="2">
      <x:c r="A2" s="33" t="str">
        <x:v>Final ranking metric</x:v>
      </x:c>
      <x:c r="B2" s="10" t="str">
        <x:v>Arithmetic mean of the eight submitted Mean ASR values</x:v>
      </x:c>
    </x:row>
    <x:row r="3">
      <x:c r="A3" s="33" t="str">
        <x:v>Direction</x:v>
      </x:c>
      <x:c r="B3" s="10" t="str">
        <x:v>Higher overall mean ASR ranks first</x:v>
      </x:c>
    </x:row>
    <x:row r="4">
      <x:c r="A4" s="33" t="str">
        <x:v>Models</x:v>
      </x:c>
      <x:c r="B4" s="10" t="str">
        <x:v>ML-GCN and ML-LIW</x:v>
      </x:c>
    </x:row>
    <x:row r="5">
      <x:c r="A5" s="33" t="str">
        <x:v>Datasets</x:v>
      </x:c>
      <x:c r="B5" s="10" t="str">
        <x:v>VOC 2007, VOC 2012, NUS-WIDE, and COCO</x:v>
      </x:c>
    </x:row>
    <x:row r="6">
      <x:c r="A6" s="33" t="str">
        <x:v>Status</x:v>
      </x:c>
      <x:c r="B6" s="10" t="str">
        <x:v>Final decision supplied by the competition organizer</x:v>
      </x:c>
    </x:row>
  </x:sheetData>
  <x:mergeCells>
    <x:mergeCell ref="A1:B1"/>
  </x:mergeCells>
  <x:pageMargins left="0.7" right="0.7" top="0.75" bottom="0.75" header="0.3" footer="0.3"/>
</x:worksheet>
</file>